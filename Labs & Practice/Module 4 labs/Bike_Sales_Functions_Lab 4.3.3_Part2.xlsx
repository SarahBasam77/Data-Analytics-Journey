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0" documentId="8_{0286E78F-0E5D-4B30-8D07-4830CF4E3899}" xr6:coauthVersionLast="47" xr6:coauthVersionMax="47" xr10:uidLastSave="{00000000-0000-0000-0000-000000000000}"/>
  <bookViews>
    <workbookView xWindow="9510" yWindow="0" windowWidth="9780" windowHeight="10170" xr2:uid="{A48E37E5-02DD-42EE-9398-84A867E85482}"/>
  </bookViews>
  <sheets>
    <sheet name="Bike_Sales_Functions_L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4" i="1"/>
  <c r="V3" i="1"/>
  <c r="V2" i="1"/>
</calcChain>
</file>

<file path=xl/sharedStrings.xml><?xml version="1.0" encoding="utf-8"?>
<sst xmlns="http://schemas.openxmlformats.org/spreadsheetml/2006/main" count="777" uniqueCount="86">
  <si>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</si>
  <si>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</si>
  <si>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</si>
  <si>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</si>
  <si>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</si>
  <si>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</si>
  <si>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</si>
  <si>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</si>
  <si>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</si>
  <si>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</si>
  <si>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</si>
  <si>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</si>
  <si>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</si>
  <si>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</si>
  <si>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</si>
  <si>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</si>
  <si>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</si>
  <si>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</si>
  <si>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</si>
  <si>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</si>
  <si>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</si>
  <si>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</si>
  <si>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</si>
  <si>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</si>
  <si>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</si>
  <si>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</si>
  <si>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</si>
  <si>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</si>
  <si>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</si>
  <si>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</si>
  <si>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</si>
  <si>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Mountain-400-W Silver, 46</t>
  </si>
  <si>
    <t>Young Adults (25-34)</t>
  </si>
  <si>
    <t>Australia</t>
  </si>
  <si>
    <t>New South Wales</t>
  </si>
  <si>
    <t>Mountain-400-W Silver, 42</t>
  </si>
  <si>
    <t>Youth (&lt;25)</t>
  </si>
  <si>
    <t>Mountain-200 Black, 38</t>
  </si>
  <si>
    <t>Washington</t>
  </si>
  <si>
    <t>Germany</t>
  </si>
  <si>
    <t>Nordrhein-Westfalen</t>
  </si>
  <si>
    <t>Queensland</t>
  </si>
  <si>
    <t>Mountain-200 Silver, 38</t>
  </si>
  <si>
    <t>Canada</t>
  </si>
  <si>
    <t>British Columbia</t>
  </si>
  <si>
    <t>Mountain-200 Black, 42</t>
  </si>
  <si>
    <t>Mountain-400-W Silver, 38</t>
  </si>
  <si>
    <t>Mountain-500 Silver, 42</t>
  </si>
  <si>
    <t>Oregon</t>
  </si>
  <si>
    <t>Mountain-500 Black, 42</t>
  </si>
  <si>
    <t>Victoria</t>
  </si>
  <si>
    <t>Mountain-100 Black, 38</t>
  </si>
  <si>
    <t>Hamburg</t>
  </si>
  <si>
    <t>Mountain-500 Black, 40</t>
  </si>
  <si>
    <t>Mountain-100 Silver, 44</t>
  </si>
  <si>
    <t>France</t>
  </si>
  <si>
    <t>Seine (Paris)</t>
  </si>
  <si>
    <t>12/13/2021</t>
  </si>
  <si>
    <t>Mountain-500 Silver, 40</t>
  </si>
  <si>
    <t>12/14/2021</t>
  </si>
  <si>
    <t>12/15/2021</t>
  </si>
  <si>
    <t>12/16/2021</t>
  </si>
  <si>
    <t>Seine et Marne</t>
  </si>
  <si>
    <t>Mountain-200 Silver, 46</t>
  </si>
  <si>
    <t>12/17/2021</t>
  </si>
  <si>
    <t>12/18/2021</t>
  </si>
  <si>
    <t>Seine Saint Denis</t>
  </si>
  <si>
    <t>12/19/2021</t>
  </si>
  <si>
    <t>Nord</t>
  </si>
  <si>
    <t>Mountain-500 Black, 44</t>
  </si>
  <si>
    <t>Mountain-100 Black, 48</t>
  </si>
  <si>
    <t>South Australia</t>
  </si>
  <si>
    <t>Hessen</t>
  </si>
  <si>
    <t>12/20/2021</t>
  </si>
  <si>
    <t>Mountain-500 Black, 52</t>
  </si>
  <si>
    <t>12/21/2021</t>
  </si>
  <si>
    <t>Somme</t>
  </si>
  <si>
    <t>12/22/2021</t>
  </si>
  <si>
    <t>12/23/2021</t>
  </si>
  <si>
    <t>12/24/2021</t>
  </si>
  <si>
    <t>Youth</t>
  </si>
  <si>
    <t>Young Adults</t>
  </si>
  <si>
    <t>Adults</t>
  </si>
  <si>
    <t>Average Revenue by Age Group</t>
  </si>
  <si>
    <t>Minimum Revenue from Australia</t>
  </si>
  <si>
    <t>Maximum Revenue from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</si>
</sst>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71" formatCode="_([$$-409]* #,##0.00_);_([$$-409]* \(#,##0.00\);_([$$-409]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0" xfId="0" applyFont="1"/>
    <xf numFmtId="44" fontId="0" fillId="0" borderId="0" xfId="42" applyFont="1"/>
    <xf numFmtId="171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6F15-C5E1-4AAD-896E-A4CDF1FFFCD9}">
  <dimension ref="A1:X89"/>
  <sheetViews>
    <sheetView tabSelected="1" topLeftCell="V1" workbookViewId="0">
      <selection activeCell="V9" sqref="V9"/>
    </sheetView>
  </sheetViews>
  <sheetFormatPr defaultRowHeight="14.5" x14ac:dyDescent="0.35"/>
  <cols>
    <col min="1" max="1" width="12" bestFit="1" customWidth="1"/>
    <col min="2" max="2" width="10.08984375" bestFit="1" customWidth="1"/>
    <col min="3" max="3" width="3.90625" bestFit="1" customWidth="1"/>
    <col min="4" max="4" width="9.26953125" bestFit="1" customWidth="1"/>
    <col min="5" max="5" width="4.81640625" bestFit="1" customWidth="1"/>
    <col min="6" max="6" width="12.6328125" bestFit="1" customWidth="1"/>
    <col min="7" max="7" width="17.6328125" bestFit="1" customWidth="1"/>
    <col min="8" max="8" width="15.6328125" bestFit="1" customWidth="1"/>
    <col min="9" max="9" width="13.54296875" bestFit="1" customWidth="1"/>
    <col min="10" max="10" width="17.81640625" bestFit="1" customWidth="1"/>
    <col min="11" max="11" width="15.36328125" bestFit="1" customWidth="1"/>
    <col min="12" max="12" width="13.1796875" bestFit="1" customWidth="1"/>
    <col min="13" max="13" width="22.1796875" bestFit="1" customWidth="1"/>
    <col min="14" max="14" width="13.26953125" bestFit="1" customWidth="1"/>
    <col min="15" max="15" width="9.54296875" bestFit="1" customWidth="1"/>
    <col min="16" max="16" width="9.90625" bestFit="1" customWidth="1"/>
    <col min="17" max="18" width="9.54296875" bestFit="1" customWidth="1"/>
    <col min="19" max="19" width="10.54296875" bestFit="1" customWidth="1"/>
    <col min="21" max="21" width="11.54296875" customWidth="1"/>
    <col min="22" max="22" width="26.90625" customWidth="1"/>
    <col min="23" max="23" width="31.08984375" customWidth="1"/>
    <col min="24" max="24" width="30.542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83</v>
      </c>
      <c r="W1" s="3" t="s">
        <v>84</v>
      </c>
      <c r="X1" s="3" t="s">
        <v>85</v>
      </c>
    </row>
    <row r="2" spans="1:24" x14ac:dyDescent="0.35">
      <c r="A2">
        <v>261695</v>
      </c>
      <c r="B2" s="1">
        <v>44208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4</v>
      </c>
      <c r="O2" s="2">
        <v>1252</v>
      </c>
      <c r="P2" s="2">
        <v>2295</v>
      </c>
      <c r="Q2" s="2">
        <v>4172</v>
      </c>
      <c r="R2" s="2">
        <v>5008</v>
      </c>
      <c r="S2" s="2">
        <v>9180</v>
      </c>
      <c r="U2" t="s">
        <v>80</v>
      </c>
      <c r="V2" s="5">
        <f>AVERAGEIF(G2:G89,"Youth (&lt;25)",S2:S89)</f>
        <v>3533</v>
      </c>
      <c r="W2" s="4">
        <f>_xlfn.MINIFS(S2:S89,I2:I89,"Australia")</f>
        <v>565</v>
      </c>
      <c r="X2" s="4">
        <f>_xlfn.MAXIFS(S2:S89,I2:I89,"Australia")</f>
        <v>13500</v>
      </c>
    </row>
    <row r="3" spans="1:24" x14ac:dyDescent="0.35">
      <c r="A3">
        <v>261696</v>
      </c>
      <c r="B3" s="1">
        <v>44208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27</v>
      </c>
      <c r="I3" t="s">
        <v>28</v>
      </c>
      <c r="J3" t="s">
        <v>29</v>
      </c>
      <c r="K3" t="s">
        <v>24</v>
      </c>
      <c r="L3" t="s">
        <v>25</v>
      </c>
      <c r="M3" t="s">
        <v>30</v>
      </c>
      <c r="N3">
        <v>1</v>
      </c>
      <c r="O3" s="2">
        <v>1266</v>
      </c>
      <c r="P3" s="2">
        <v>2320</v>
      </c>
      <c r="Q3" s="2">
        <v>1054</v>
      </c>
      <c r="R3" s="2">
        <v>1266</v>
      </c>
      <c r="S3" s="2">
        <v>2320</v>
      </c>
      <c r="U3" t="s">
        <v>81</v>
      </c>
      <c r="V3" s="5">
        <f>AVERAGEIF(G2:G89,"Young Adults (25-34)",S2:S89)</f>
        <v>3859.5483870967741</v>
      </c>
    </row>
    <row r="4" spans="1:24" x14ac:dyDescent="0.35">
      <c r="A4">
        <v>261697</v>
      </c>
      <c r="B4" s="1">
        <v>44239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27</v>
      </c>
      <c r="I4" t="s">
        <v>22</v>
      </c>
      <c r="J4" t="s">
        <v>23</v>
      </c>
      <c r="K4" t="s">
        <v>24</v>
      </c>
      <c r="L4" t="s">
        <v>25</v>
      </c>
      <c r="M4" t="s">
        <v>31</v>
      </c>
      <c r="N4">
        <v>2</v>
      </c>
      <c r="O4" s="2">
        <v>420</v>
      </c>
      <c r="P4" s="2">
        <v>769</v>
      </c>
      <c r="Q4" s="2">
        <v>698</v>
      </c>
      <c r="R4" s="2">
        <v>840</v>
      </c>
      <c r="S4" s="2">
        <v>1538</v>
      </c>
      <c r="U4" t="s">
        <v>82</v>
      </c>
      <c r="V4" s="5">
        <f>AVERAGEIF(G2:G89,"Adults (35-64)",S2:S89)</f>
        <v>4388.4255319148933</v>
      </c>
    </row>
    <row r="5" spans="1:24" x14ac:dyDescent="0.35">
      <c r="A5">
        <v>261698</v>
      </c>
      <c r="B5" s="1">
        <v>44239</v>
      </c>
      <c r="C5">
        <v>2</v>
      </c>
      <c r="D5" t="s">
        <v>19</v>
      </c>
      <c r="E5">
        <v>2021</v>
      </c>
      <c r="F5">
        <v>31</v>
      </c>
      <c r="G5" t="s">
        <v>32</v>
      </c>
      <c r="H5" t="s">
        <v>21</v>
      </c>
      <c r="I5" t="s">
        <v>33</v>
      </c>
      <c r="J5" t="s">
        <v>34</v>
      </c>
      <c r="K5" t="s">
        <v>24</v>
      </c>
      <c r="L5" t="s">
        <v>25</v>
      </c>
      <c r="M5" t="s">
        <v>35</v>
      </c>
      <c r="N5">
        <v>1</v>
      </c>
      <c r="O5" s="2">
        <v>420</v>
      </c>
      <c r="P5" s="2">
        <v>769</v>
      </c>
      <c r="Q5" s="2">
        <v>349</v>
      </c>
      <c r="R5" s="2">
        <v>420</v>
      </c>
      <c r="S5" s="2">
        <v>769</v>
      </c>
    </row>
    <row r="6" spans="1:24" x14ac:dyDescent="0.35">
      <c r="A6">
        <v>261699</v>
      </c>
      <c r="B6" s="1">
        <v>44267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>
        <v>2</v>
      </c>
      <c r="O6" s="2">
        <v>1252</v>
      </c>
      <c r="P6" s="2">
        <v>2295</v>
      </c>
      <c r="Q6" s="2">
        <v>2086</v>
      </c>
      <c r="R6" s="2">
        <v>2504</v>
      </c>
      <c r="S6" s="2">
        <v>4590</v>
      </c>
    </row>
    <row r="7" spans="1:24" x14ac:dyDescent="0.35">
      <c r="A7">
        <v>261700</v>
      </c>
      <c r="B7" s="1">
        <v>44267</v>
      </c>
      <c r="C7">
        <v>3</v>
      </c>
      <c r="D7" t="s">
        <v>19</v>
      </c>
      <c r="E7">
        <v>2021</v>
      </c>
      <c r="F7">
        <v>24</v>
      </c>
      <c r="G7" t="s">
        <v>36</v>
      </c>
      <c r="H7" t="s">
        <v>21</v>
      </c>
      <c r="I7" t="s">
        <v>28</v>
      </c>
      <c r="J7" t="s">
        <v>29</v>
      </c>
      <c r="K7" t="s">
        <v>24</v>
      </c>
      <c r="L7" t="s">
        <v>25</v>
      </c>
      <c r="M7" t="s">
        <v>37</v>
      </c>
      <c r="N7">
        <v>1</v>
      </c>
      <c r="O7" s="2">
        <v>1252</v>
      </c>
      <c r="P7" s="2">
        <v>2295</v>
      </c>
      <c r="Q7" s="2">
        <v>1043</v>
      </c>
      <c r="R7" s="2">
        <v>1252</v>
      </c>
      <c r="S7" s="2">
        <v>2295</v>
      </c>
    </row>
    <row r="8" spans="1:24" x14ac:dyDescent="0.35">
      <c r="A8">
        <v>261701</v>
      </c>
      <c r="B8" s="1">
        <v>44267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27</v>
      </c>
      <c r="I8" t="s">
        <v>22</v>
      </c>
      <c r="J8" t="s">
        <v>38</v>
      </c>
      <c r="K8" t="s">
        <v>24</v>
      </c>
      <c r="L8" t="s">
        <v>25</v>
      </c>
      <c r="M8" t="s">
        <v>26</v>
      </c>
      <c r="N8">
        <v>1</v>
      </c>
      <c r="O8" s="2">
        <v>1252</v>
      </c>
      <c r="P8" s="2">
        <v>2295</v>
      </c>
      <c r="Q8" s="2">
        <v>1043</v>
      </c>
      <c r="R8" s="2">
        <v>1252</v>
      </c>
      <c r="S8" s="2">
        <v>2295</v>
      </c>
    </row>
    <row r="9" spans="1:24" x14ac:dyDescent="0.35">
      <c r="A9">
        <v>261702</v>
      </c>
      <c r="B9" s="1">
        <v>44298</v>
      </c>
      <c r="C9">
        <v>4</v>
      </c>
      <c r="D9" t="s">
        <v>19</v>
      </c>
      <c r="E9">
        <v>2021</v>
      </c>
      <c r="F9">
        <v>31</v>
      </c>
      <c r="G9" t="s">
        <v>32</v>
      </c>
      <c r="H9" t="s">
        <v>21</v>
      </c>
      <c r="I9" t="s">
        <v>33</v>
      </c>
      <c r="J9" t="s">
        <v>34</v>
      </c>
      <c r="K9" t="s">
        <v>24</v>
      </c>
      <c r="L9" t="s">
        <v>25</v>
      </c>
      <c r="M9" t="s">
        <v>35</v>
      </c>
      <c r="N9">
        <v>4</v>
      </c>
      <c r="O9" s="2">
        <v>420</v>
      </c>
      <c r="P9" s="2">
        <v>769</v>
      </c>
      <c r="Q9" s="2">
        <v>1396</v>
      </c>
      <c r="R9" s="2">
        <v>1680</v>
      </c>
      <c r="S9" s="2">
        <v>3076</v>
      </c>
    </row>
    <row r="10" spans="1:24" x14ac:dyDescent="0.35">
      <c r="A10">
        <v>261703</v>
      </c>
      <c r="B10" s="1">
        <v>44328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>
        <v>4</v>
      </c>
      <c r="O10" s="2">
        <v>1252</v>
      </c>
      <c r="P10" s="2">
        <v>2295</v>
      </c>
      <c r="Q10" s="2">
        <v>4172</v>
      </c>
      <c r="R10" s="2">
        <v>5008</v>
      </c>
      <c r="S10" s="2">
        <v>9180</v>
      </c>
    </row>
    <row r="11" spans="1:24" x14ac:dyDescent="0.35">
      <c r="A11">
        <v>261704</v>
      </c>
      <c r="B11" s="1">
        <v>44328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27</v>
      </c>
      <c r="I11" t="s">
        <v>39</v>
      </c>
      <c r="J11" t="s">
        <v>40</v>
      </c>
      <c r="K11" t="s">
        <v>24</v>
      </c>
      <c r="L11" t="s">
        <v>25</v>
      </c>
      <c r="M11" t="s">
        <v>37</v>
      </c>
      <c r="N11">
        <v>4</v>
      </c>
      <c r="O11" s="2">
        <v>1252</v>
      </c>
      <c r="P11" s="2">
        <v>2295</v>
      </c>
      <c r="Q11" s="2">
        <v>4172</v>
      </c>
      <c r="R11" s="2">
        <v>5008</v>
      </c>
      <c r="S11" s="2">
        <v>9180</v>
      </c>
    </row>
    <row r="12" spans="1:24" x14ac:dyDescent="0.35">
      <c r="A12">
        <v>261705</v>
      </c>
      <c r="B12" s="1">
        <v>44328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21</v>
      </c>
      <c r="I12" t="s">
        <v>33</v>
      </c>
      <c r="J12" t="s">
        <v>41</v>
      </c>
      <c r="K12" t="s">
        <v>24</v>
      </c>
      <c r="L12" t="s">
        <v>25</v>
      </c>
      <c r="M12" t="s">
        <v>42</v>
      </c>
      <c r="N12">
        <v>1</v>
      </c>
      <c r="O12" s="2">
        <v>1266</v>
      </c>
      <c r="P12" s="2">
        <v>2320</v>
      </c>
      <c r="Q12" s="2">
        <v>1054</v>
      </c>
      <c r="R12" s="2">
        <v>1266</v>
      </c>
      <c r="S12" s="2">
        <v>2320</v>
      </c>
    </row>
    <row r="13" spans="1:24" x14ac:dyDescent="0.35">
      <c r="A13">
        <v>261706</v>
      </c>
      <c r="B13" s="1">
        <v>44328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>
        <v>1</v>
      </c>
      <c r="O13" s="2">
        <v>1252</v>
      </c>
      <c r="P13" s="2">
        <v>2295</v>
      </c>
      <c r="Q13" s="2">
        <v>1043</v>
      </c>
      <c r="R13" s="2">
        <v>1252</v>
      </c>
      <c r="S13" s="2">
        <v>2295</v>
      </c>
    </row>
    <row r="14" spans="1:24" x14ac:dyDescent="0.35">
      <c r="A14">
        <v>261707</v>
      </c>
      <c r="B14" s="1">
        <v>44359</v>
      </c>
      <c r="C14">
        <v>6</v>
      </c>
      <c r="D14" t="s">
        <v>19</v>
      </c>
      <c r="E14">
        <v>2021</v>
      </c>
      <c r="F14">
        <v>23</v>
      </c>
      <c r="G14" t="s">
        <v>36</v>
      </c>
      <c r="H14" t="s">
        <v>27</v>
      </c>
      <c r="I14" t="s">
        <v>28</v>
      </c>
      <c r="J14" t="s">
        <v>29</v>
      </c>
      <c r="K14" t="s">
        <v>24</v>
      </c>
      <c r="L14" t="s">
        <v>25</v>
      </c>
      <c r="M14" t="s">
        <v>31</v>
      </c>
      <c r="N14">
        <v>3</v>
      </c>
      <c r="O14" s="2">
        <v>420</v>
      </c>
      <c r="P14" s="2">
        <v>769</v>
      </c>
      <c r="Q14" s="2">
        <v>1047</v>
      </c>
      <c r="R14" s="2">
        <v>1260</v>
      </c>
      <c r="S14" s="2">
        <v>2307</v>
      </c>
    </row>
    <row r="15" spans="1:24" x14ac:dyDescent="0.35">
      <c r="A15">
        <v>261708</v>
      </c>
      <c r="B15" s="1">
        <v>44359</v>
      </c>
      <c r="C15">
        <v>6</v>
      </c>
      <c r="D15" t="s">
        <v>19</v>
      </c>
      <c r="E15">
        <v>2021</v>
      </c>
      <c r="F15">
        <v>27</v>
      </c>
      <c r="G15" t="s">
        <v>32</v>
      </c>
      <c r="H15" t="s">
        <v>27</v>
      </c>
      <c r="I15" t="s">
        <v>43</v>
      </c>
      <c r="J15" t="s">
        <v>44</v>
      </c>
      <c r="K15" t="s">
        <v>24</v>
      </c>
      <c r="L15" t="s">
        <v>25</v>
      </c>
      <c r="M15" t="s">
        <v>26</v>
      </c>
      <c r="N15">
        <v>1</v>
      </c>
      <c r="O15" s="2">
        <v>1252</v>
      </c>
      <c r="P15" s="2">
        <v>2295</v>
      </c>
      <c r="Q15" s="2">
        <v>1043</v>
      </c>
      <c r="R15" s="2">
        <v>1252</v>
      </c>
      <c r="S15" s="2">
        <v>2295</v>
      </c>
    </row>
    <row r="16" spans="1:24" x14ac:dyDescent="0.35">
      <c r="A16">
        <v>261709</v>
      </c>
      <c r="B16" s="1">
        <v>44359</v>
      </c>
      <c r="C16">
        <v>6</v>
      </c>
      <c r="D16" t="s">
        <v>19</v>
      </c>
      <c r="E16">
        <v>2021</v>
      </c>
      <c r="F16">
        <v>36</v>
      </c>
      <c r="G16" t="s">
        <v>20</v>
      </c>
      <c r="H16" t="s">
        <v>27</v>
      </c>
      <c r="I16" t="s">
        <v>33</v>
      </c>
      <c r="J16" t="s">
        <v>34</v>
      </c>
      <c r="K16" t="s">
        <v>24</v>
      </c>
      <c r="L16" t="s">
        <v>25</v>
      </c>
      <c r="M16" t="s">
        <v>45</v>
      </c>
      <c r="N16">
        <v>1</v>
      </c>
      <c r="O16" s="2">
        <v>1252</v>
      </c>
      <c r="P16" s="2">
        <v>2295</v>
      </c>
      <c r="Q16" s="2">
        <v>1043</v>
      </c>
      <c r="R16" s="2">
        <v>1252</v>
      </c>
      <c r="S16" s="2">
        <v>2295</v>
      </c>
    </row>
    <row r="17" spans="1:19" x14ac:dyDescent="0.35">
      <c r="A17">
        <v>261710</v>
      </c>
      <c r="B17" s="1">
        <v>44359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27</v>
      </c>
      <c r="I17" t="s">
        <v>28</v>
      </c>
      <c r="J17" t="s">
        <v>29</v>
      </c>
      <c r="K17" t="s">
        <v>24</v>
      </c>
      <c r="L17" t="s">
        <v>25</v>
      </c>
      <c r="M17" t="s">
        <v>42</v>
      </c>
      <c r="N17">
        <v>1</v>
      </c>
      <c r="O17" s="2">
        <v>1266</v>
      </c>
      <c r="P17" s="2">
        <v>2320</v>
      </c>
      <c r="Q17" s="2">
        <v>1054</v>
      </c>
      <c r="R17" s="2">
        <v>1266</v>
      </c>
      <c r="S17" s="2">
        <v>2320</v>
      </c>
    </row>
    <row r="18" spans="1:19" x14ac:dyDescent="0.35">
      <c r="A18">
        <v>261711</v>
      </c>
      <c r="B18" s="1">
        <v>44389</v>
      </c>
      <c r="C18">
        <v>7</v>
      </c>
      <c r="D18" t="s">
        <v>19</v>
      </c>
      <c r="E18">
        <v>2021</v>
      </c>
      <c r="F18">
        <v>30</v>
      </c>
      <c r="G18" t="s">
        <v>32</v>
      </c>
      <c r="H18" t="s">
        <v>27</v>
      </c>
      <c r="I18" t="s">
        <v>22</v>
      </c>
      <c r="J18" t="s">
        <v>23</v>
      </c>
      <c r="K18" t="s">
        <v>24</v>
      </c>
      <c r="L18" t="s">
        <v>25</v>
      </c>
      <c r="M18" t="s">
        <v>46</v>
      </c>
      <c r="N18">
        <v>4</v>
      </c>
      <c r="O18" s="2">
        <v>420</v>
      </c>
      <c r="P18" s="2">
        <v>769</v>
      </c>
      <c r="Q18" s="2">
        <v>1396</v>
      </c>
      <c r="R18" s="2">
        <v>1680</v>
      </c>
      <c r="S18" s="2">
        <v>3076</v>
      </c>
    </row>
    <row r="19" spans="1:19" x14ac:dyDescent="0.35">
      <c r="A19">
        <v>261712</v>
      </c>
      <c r="B19" s="1">
        <v>44389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27</v>
      </c>
      <c r="I19" t="s">
        <v>22</v>
      </c>
      <c r="J19" t="s">
        <v>23</v>
      </c>
      <c r="K19" t="s">
        <v>24</v>
      </c>
      <c r="L19" t="s">
        <v>25</v>
      </c>
      <c r="M19" t="s">
        <v>30</v>
      </c>
      <c r="N19">
        <v>2</v>
      </c>
      <c r="O19" s="2">
        <v>1266</v>
      </c>
      <c r="P19" s="2">
        <v>2320</v>
      </c>
      <c r="Q19" s="2">
        <v>2108</v>
      </c>
      <c r="R19" s="2">
        <v>2532</v>
      </c>
      <c r="S19" s="2">
        <v>4640</v>
      </c>
    </row>
    <row r="20" spans="1:19" x14ac:dyDescent="0.35">
      <c r="A20">
        <v>261713</v>
      </c>
      <c r="B20" s="1">
        <v>44420</v>
      </c>
      <c r="C20">
        <v>8</v>
      </c>
      <c r="D20" t="s">
        <v>19</v>
      </c>
      <c r="E20">
        <v>2021</v>
      </c>
      <c r="F20">
        <v>19</v>
      </c>
      <c r="G20" t="s">
        <v>36</v>
      </c>
      <c r="H20" t="s">
        <v>21</v>
      </c>
      <c r="I20" t="s">
        <v>33</v>
      </c>
      <c r="J20" t="s">
        <v>34</v>
      </c>
      <c r="K20" t="s">
        <v>24</v>
      </c>
      <c r="L20" t="s">
        <v>25</v>
      </c>
      <c r="M20" t="s">
        <v>47</v>
      </c>
      <c r="N20">
        <v>4</v>
      </c>
      <c r="O20" s="2">
        <v>308</v>
      </c>
      <c r="P20" s="2">
        <v>565</v>
      </c>
      <c r="Q20" s="2">
        <v>1028</v>
      </c>
      <c r="R20" s="2">
        <v>1232</v>
      </c>
      <c r="S20" s="2">
        <v>2260</v>
      </c>
    </row>
    <row r="21" spans="1:19" x14ac:dyDescent="0.35">
      <c r="A21">
        <v>261714</v>
      </c>
      <c r="B21" s="1">
        <v>44420</v>
      </c>
      <c r="C21">
        <v>8</v>
      </c>
      <c r="D21" t="s">
        <v>19</v>
      </c>
      <c r="E21">
        <v>2021</v>
      </c>
      <c r="F21">
        <v>30</v>
      </c>
      <c r="G21" t="s">
        <v>32</v>
      </c>
      <c r="H21" t="s">
        <v>21</v>
      </c>
      <c r="I21" t="s">
        <v>43</v>
      </c>
      <c r="J21" t="s">
        <v>44</v>
      </c>
      <c r="K21" t="s">
        <v>24</v>
      </c>
      <c r="L21" t="s">
        <v>25</v>
      </c>
      <c r="M21" t="s">
        <v>42</v>
      </c>
      <c r="N21">
        <v>4</v>
      </c>
      <c r="O21" s="2">
        <v>1266</v>
      </c>
      <c r="P21" s="2">
        <v>2320</v>
      </c>
      <c r="Q21" s="2">
        <v>4216</v>
      </c>
      <c r="R21" s="2">
        <v>5064</v>
      </c>
      <c r="S21" s="2">
        <v>9280</v>
      </c>
    </row>
    <row r="22" spans="1:19" x14ac:dyDescent="0.35">
      <c r="A22">
        <v>261715</v>
      </c>
      <c r="B22" s="1">
        <v>44420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21</v>
      </c>
      <c r="I22" t="s">
        <v>22</v>
      </c>
      <c r="J22" t="s">
        <v>48</v>
      </c>
      <c r="K22" t="s">
        <v>24</v>
      </c>
      <c r="L22" t="s">
        <v>25</v>
      </c>
      <c r="M22" t="s">
        <v>45</v>
      </c>
      <c r="N22">
        <v>2</v>
      </c>
      <c r="O22" s="2">
        <v>1252</v>
      </c>
      <c r="P22" s="2">
        <v>2295</v>
      </c>
      <c r="Q22" s="2">
        <v>2086</v>
      </c>
      <c r="R22" s="2">
        <v>2504</v>
      </c>
      <c r="S22" s="2">
        <v>4590</v>
      </c>
    </row>
    <row r="23" spans="1:19" x14ac:dyDescent="0.35">
      <c r="A23">
        <v>261716</v>
      </c>
      <c r="B23" s="1">
        <v>44420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49</v>
      </c>
      <c r="N23">
        <v>1</v>
      </c>
      <c r="O23" s="2">
        <v>295</v>
      </c>
      <c r="P23" s="2">
        <v>540</v>
      </c>
      <c r="Q23" s="2">
        <v>245</v>
      </c>
      <c r="R23" s="2">
        <v>295</v>
      </c>
      <c r="S23" s="2">
        <v>540</v>
      </c>
    </row>
    <row r="24" spans="1:19" x14ac:dyDescent="0.35">
      <c r="A24">
        <v>261717</v>
      </c>
      <c r="B24" s="1">
        <v>44451</v>
      </c>
      <c r="C24">
        <v>9</v>
      </c>
      <c r="D24" t="s">
        <v>19</v>
      </c>
      <c r="E24">
        <v>2021</v>
      </c>
      <c r="F24">
        <v>33</v>
      </c>
      <c r="G24" t="s">
        <v>32</v>
      </c>
      <c r="H24" t="s">
        <v>21</v>
      </c>
      <c r="I24" t="s">
        <v>33</v>
      </c>
      <c r="J24" t="s">
        <v>50</v>
      </c>
      <c r="K24" t="s">
        <v>24</v>
      </c>
      <c r="L24" t="s">
        <v>25</v>
      </c>
      <c r="M24" t="s">
        <v>51</v>
      </c>
      <c r="N24">
        <v>2</v>
      </c>
      <c r="O24" s="2">
        <v>1898</v>
      </c>
      <c r="P24" s="2">
        <v>3375</v>
      </c>
      <c r="Q24" s="2">
        <v>2954</v>
      </c>
      <c r="R24" s="2">
        <v>3796</v>
      </c>
      <c r="S24" s="2">
        <v>6750</v>
      </c>
    </row>
    <row r="25" spans="1:19" x14ac:dyDescent="0.35">
      <c r="A25">
        <v>261718</v>
      </c>
      <c r="B25" s="1">
        <v>44451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21</v>
      </c>
      <c r="I25" t="s">
        <v>39</v>
      </c>
      <c r="J25" t="s">
        <v>52</v>
      </c>
      <c r="K25" t="s">
        <v>24</v>
      </c>
      <c r="L25" t="s">
        <v>25</v>
      </c>
      <c r="M25" t="s">
        <v>30</v>
      </c>
      <c r="N25">
        <v>1</v>
      </c>
      <c r="O25" s="2">
        <v>1266</v>
      </c>
      <c r="P25" s="2">
        <v>2320</v>
      </c>
      <c r="Q25" s="2">
        <v>1054</v>
      </c>
      <c r="R25" s="2">
        <v>1266</v>
      </c>
      <c r="S25" s="2">
        <v>2320</v>
      </c>
    </row>
    <row r="26" spans="1:19" x14ac:dyDescent="0.35">
      <c r="A26">
        <v>261719</v>
      </c>
      <c r="B26" s="1">
        <v>44481</v>
      </c>
      <c r="C26">
        <v>10</v>
      </c>
      <c r="D26" t="s">
        <v>19</v>
      </c>
      <c r="E26">
        <v>2021</v>
      </c>
      <c r="F26">
        <v>34</v>
      </c>
      <c r="G26" t="s">
        <v>32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45</v>
      </c>
      <c r="N26">
        <v>2</v>
      </c>
      <c r="O26" s="2">
        <v>1252</v>
      </c>
      <c r="P26" s="2">
        <v>2295</v>
      </c>
      <c r="Q26" s="2">
        <v>2086</v>
      </c>
      <c r="R26" s="2">
        <v>2504</v>
      </c>
      <c r="S26" s="2">
        <v>4590</v>
      </c>
    </row>
    <row r="27" spans="1:19" x14ac:dyDescent="0.35">
      <c r="A27">
        <v>261720</v>
      </c>
      <c r="B27" s="1">
        <v>44481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27</v>
      </c>
      <c r="I27" t="s">
        <v>33</v>
      </c>
      <c r="J27" t="s">
        <v>34</v>
      </c>
      <c r="K27" t="s">
        <v>24</v>
      </c>
      <c r="L27" t="s">
        <v>25</v>
      </c>
      <c r="M27" t="s">
        <v>45</v>
      </c>
      <c r="N27">
        <v>2</v>
      </c>
      <c r="O27" s="2">
        <v>1252</v>
      </c>
      <c r="P27" s="2">
        <v>2295</v>
      </c>
      <c r="Q27" s="2">
        <v>2086</v>
      </c>
      <c r="R27" s="2">
        <v>2504</v>
      </c>
      <c r="S27" s="2">
        <v>4590</v>
      </c>
    </row>
    <row r="28" spans="1:19" x14ac:dyDescent="0.35">
      <c r="A28">
        <v>261721</v>
      </c>
      <c r="B28" s="1">
        <v>44481</v>
      </c>
      <c r="C28">
        <v>10</v>
      </c>
      <c r="D28" t="s">
        <v>19</v>
      </c>
      <c r="E28">
        <v>2021</v>
      </c>
      <c r="F28">
        <v>26</v>
      </c>
      <c r="G28" t="s">
        <v>32</v>
      </c>
      <c r="H28" t="s">
        <v>27</v>
      </c>
      <c r="I28" t="s">
        <v>28</v>
      </c>
      <c r="J28" t="s">
        <v>29</v>
      </c>
      <c r="K28" t="s">
        <v>24</v>
      </c>
      <c r="L28" t="s">
        <v>25</v>
      </c>
      <c r="M28" t="s">
        <v>37</v>
      </c>
      <c r="N28">
        <v>1</v>
      </c>
      <c r="O28" s="2">
        <v>1252</v>
      </c>
      <c r="P28" s="2">
        <v>2295</v>
      </c>
      <c r="Q28" s="2">
        <v>1043</v>
      </c>
      <c r="R28" s="2">
        <v>1252</v>
      </c>
      <c r="S28" s="2">
        <v>2295</v>
      </c>
    </row>
    <row r="29" spans="1:19" x14ac:dyDescent="0.35">
      <c r="A29">
        <v>261722</v>
      </c>
      <c r="B29" s="1">
        <v>44481</v>
      </c>
      <c r="C29">
        <v>10</v>
      </c>
      <c r="D29" t="s">
        <v>19</v>
      </c>
      <c r="E29">
        <v>2021</v>
      </c>
      <c r="F29">
        <v>34</v>
      </c>
      <c r="G29" t="s">
        <v>32</v>
      </c>
      <c r="H29" t="s">
        <v>27</v>
      </c>
      <c r="I29" t="s">
        <v>22</v>
      </c>
      <c r="J29" t="s">
        <v>23</v>
      </c>
      <c r="K29" t="s">
        <v>24</v>
      </c>
      <c r="L29" t="s">
        <v>25</v>
      </c>
      <c r="M29" t="s">
        <v>53</v>
      </c>
      <c r="N29">
        <v>1</v>
      </c>
      <c r="O29" s="2">
        <v>295</v>
      </c>
      <c r="P29" s="2">
        <v>540</v>
      </c>
      <c r="Q29" s="2">
        <v>245</v>
      </c>
      <c r="R29" s="2">
        <v>295</v>
      </c>
      <c r="S29" s="2">
        <v>540</v>
      </c>
    </row>
    <row r="30" spans="1:19" x14ac:dyDescent="0.35">
      <c r="A30">
        <v>261723</v>
      </c>
      <c r="B30" s="1">
        <v>44481</v>
      </c>
      <c r="C30">
        <v>10</v>
      </c>
      <c r="D30" t="s">
        <v>19</v>
      </c>
      <c r="E30">
        <v>2021</v>
      </c>
      <c r="F30">
        <v>34</v>
      </c>
      <c r="G30" t="s">
        <v>32</v>
      </c>
      <c r="H30" t="s">
        <v>21</v>
      </c>
      <c r="I30" t="s">
        <v>22</v>
      </c>
      <c r="J30" t="s">
        <v>38</v>
      </c>
      <c r="K30" t="s">
        <v>24</v>
      </c>
      <c r="L30" t="s">
        <v>25</v>
      </c>
      <c r="M30" t="s">
        <v>54</v>
      </c>
      <c r="N30">
        <v>1</v>
      </c>
      <c r="O30" s="2">
        <v>1912</v>
      </c>
      <c r="P30" s="2">
        <v>3400</v>
      </c>
      <c r="Q30" s="2">
        <v>1488</v>
      </c>
      <c r="R30" s="2">
        <v>1912</v>
      </c>
      <c r="S30" s="2">
        <v>3400</v>
      </c>
    </row>
    <row r="31" spans="1:19" x14ac:dyDescent="0.35">
      <c r="A31">
        <v>261724</v>
      </c>
      <c r="B31" s="1">
        <v>44481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27</v>
      </c>
      <c r="I31" t="s">
        <v>33</v>
      </c>
      <c r="J31" t="s">
        <v>34</v>
      </c>
      <c r="K31" t="s">
        <v>24</v>
      </c>
      <c r="L31" t="s">
        <v>25</v>
      </c>
      <c r="M31" t="s">
        <v>37</v>
      </c>
      <c r="N31">
        <v>1</v>
      </c>
      <c r="O31" s="2">
        <v>1252</v>
      </c>
      <c r="P31" s="2">
        <v>2295</v>
      </c>
      <c r="Q31" s="2">
        <v>1043</v>
      </c>
      <c r="R31" s="2">
        <v>1252</v>
      </c>
      <c r="S31" s="2">
        <v>2295</v>
      </c>
    </row>
    <row r="32" spans="1:19" x14ac:dyDescent="0.35">
      <c r="A32">
        <v>261725</v>
      </c>
      <c r="B32" s="1">
        <v>44512</v>
      </c>
      <c r="C32">
        <v>11</v>
      </c>
      <c r="D32" t="s">
        <v>19</v>
      </c>
      <c r="E32">
        <v>2021</v>
      </c>
      <c r="F32">
        <v>24</v>
      </c>
      <c r="G32" t="s">
        <v>36</v>
      </c>
      <c r="H32" t="s">
        <v>21</v>
      </c>
      <c r="I32" t="s">
        <v>55</v>
      </c>
      <c r="J32" t="s">
        <v>56</v>
      </c>
      <c r="K32" t="s">
        <v>24</v>
      </c>
      <c r="L32" t="s">
        <v>25</v>
      </c>
      <c r="M32" t="s">
        <v>37</v>
      </c>
      <c r="N32">
        <v>3</v>
      </c>
      <c r="O32" s="2">
        <v>1252</v>
      </c>
      <c r="P32" s="2">
        <v>2295</v>
      </c>
      <c r="Q32" s="2">
        <v>3129</v>
      </c>
      <c r="R32" s="2">
        <v>3756</v>
      </c>
      <c r="S32" s="2">
        <v>6885</v>
      </c>
    </row>
    <row r="33" spans="1:19" x14ac:dyDescent="0.35">
      <c r="A33">
        <v>261726</v>
      </c>
      <c r="B33" s="1">
        <v>44512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21</v>
      </c>
      <c r="I33" t="s">
        <v>33</v>
      </c>
      <c r="J33" t="s">
        <v>34</v>
      </c>
      <c r="K33" t="s">
        <v>24</v>
      </c>
      <c r="L33" t="s">
        <v>25</v>
      </c>
      <c r="M33" t="s">
        <v>46</v>
      </c>
      <c r="N33">
        <v>2</v>
      </c>
      <c r="O33" s="2">
        <v>420</v>
      </c>
      <c r="P33" s="2">
        <v>769</v>
      </c>
      <c r="Q33" s="2">
        <v>698</v>
      </c>
      <c r="R33" s="2">
        <v>840</v>
      </c>
      <c r="S33" s="2">
        <v>1538</v>
      </c>
    </row>
    <row r="34" spans="1:19" x14ac:dyDescent="0.35">
      <c r="A34">
        <v>261727</v>
      </c>
      <c r="B34" s="1">
        <v>44512</v>
      </c>
      <c r="C34">
        <v>11</v>
      </c>
      <c r="D34" t="s">
        <v>19</v>
      </c>
      <c r="E34">
        <v>2021</v>
      </c>
      <c r="F34">
        <v>27</v>
      </c>
      <c r="G34" t="s">
        <v>32</v>
      </c>
      <c r="H34" t="s">
        <v>27</v>
      </c>
      <c r="I34" t="s">
        <v>43</v>
      </c>
      <c r="J34" t="s">
        <v>44</v>
      </c>
      <c r="K34" t="s">
        <v>24</v>
      </c>
      <c r="L34" t="s">
        <v>25</v>
      </c>
      <c r="M34" t="s">
        <v>26</v>
      </c>
      <c r="N34">
        <v>1</v>
      </c>
      <c r="O34" s="2">
        <v>1252</v>
      </c>
      <c r="P34" s="2">
        <v>2295</v>
      </c>
      <c r="Q34" s="2">
        <v>1043</v>
      </c>
      <c r="R34" s="2">
        <v>1252</v>
      </c>
      <c r="S34" s="2">
        <v>2295</v>
      </c>
    </row>
    <row r="35" spans="1:19" x14ac:dyDescent="0.35">
      <c r="A35">
        <v>261728</v>
      </c>
      <c r="B35" s="1">
        <v>44512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27</v>
      </c>
      <c r="I35" t="s">
        <v>22</v>
      </c>
      <c r="J35" t="s">
        <v>23</v>
      </c>
      <c r="K35" t="s">
        <v>24</v>
      </c>
      <c r="L35" t="s">
        <v>25</v>
      </c>
      <c r="M35" t="s">
        <v>31</v>
      </c>
      <c r="N35">
        <v>1</v>
      </c>
      <c r="O35" s="2">
        <v>420</v>
      </c>
      <c r="P35" s="2">
        <v>769</v>
      </c>
      <c r="Q35" s="2">
        <v>349</v>
      </c>
      <c r="R35" s="2">
        <v>420</v>
      </c>
      <c r="S35" s="2">
        <v>769</v>
      </c>
    </row>
    <row r="36" spans="1:19" x14ac:dyDescent="0.35">
      <c r="A36">
        <v>261729</v>
      </c>
      <c r="B36" s="1">
        <v>44512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42</v>
      </c>
      <c r="N36">
        <v>1</v>
      </c>
      <c r="O36" s="2">
        <v>1266</v>
      </c>
      <c r="P36" s="2">
        <v>2320</v>
      </c>
      <c r="Q36" s="2">
        <v>1054</v>
      </c>
      <c r="R36" s="2">
        <v>1266</v>
      </c>
      <c r="S36" s="2">
        <v>2320</v>
      </c>
    </row>
    <row r="37" spans="1:19" x14ac:dyDescent="0.35">
      <c r="A37">
        <v>261730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21</v>
      </c>
      <c r="I37" t="s">
        <v>33</v>
      </c>
      <c r="J37" t="s">
        <v>34</v>
      </c>
      <c r="K37" t="s">
        <v>24</v>
      </c>
      <c r="L37" t="s">
        <v>25</v>
      </c>
      <c r="M37" t="s">
        <v>30</v>
      </c>
      <c r="N37">
        <v>4</v>
      </c>
      <c r="O37" s="2">
        <v>1266</v>
      </c>
      <c r="P37" s="2">
        <v>2320</v>
      </c>
      <c r="Q37" s="2">
        <v>4216</v>
      </c>
      <c r="R37" s="2">
        <v>5064</v>
      </c>
      <c r="S37" s="2">
        <v>9280</v>
      </c>
    </row>
    <row r="38" spans="1:19" x14ac:dyDescent="0.35">
      <c r="A38">
        <v>261731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27</v>
      </c>
      <c r="I38" t="s">
        <v>22</v>
      </c>
      <c r="J38" t="s">
        <v>23</v>
      </c>
      <c r="K38" t="s">
        <v>24</v>
      </c>
      <c r="L38" t="s">
        <v>25</v>
      </c>
      <c r="M38" t="s">
        <v>31</v>
      </c>
      <c r="N38">
        <v>4</v>
      </c>
      <c r="O38" s="2">
        <v>420</v>
      </c>
      <c r="P38" s="2">
        <v>769</v>
      </c>
      <c r="Q38" s="2">
        <v>1396</v>
      </c>
      <c r="R38" s="2">
        <v>1680</v>
      </c>
      <c r="S38" s="2">
        <v>3076</v>
      </c>
    </row>
    <row r="39" spans="1:19" x14ac:dyDescent="0.35">
      <c r="A39">
        <v>261732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32</v>
      </c>
      <c r="H39" t="s">
        <v>27</v>
      </c>
      <c r="I39" t="s">
        <v>33</v>
      </c>
      <c r="J39" t="s">
        <v>34</v>
      </c>
      <c r="K39" t="s">
        <v>24</v>
      </c>
      <c r="L39" t="s">
        <v>25</v>
      </c>
      <c r="M39" t="s">
        <v>37</v>
      </c>
      <c r="N39">
        <v>2</v>
      </c>
      <c r="O39" s="2">
        <v>1252</v>
      </c>
      <c r="P39" s="2">
        <v>2295</v>
      </c>
      <c r="Q39" s="2">
        <v>2086</v>
      </c>
      <c r="R39" s="2">
        <v>2504</v>
      </c>
      <c r="S39" s="2">
        <v>4590</v>
      </c>
    </row>
    <row r="40" spans="1:19" x14ac:dyDescent="0.35">
      <c r="A40">
        <v>261733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21</v>
      </c>
      <c r="I40" t="s">
        <v>33</v>
      </c>
      <c r="J40" t="s">
        <v>50</v>
      </c>
      <c r="K40" t="s">
        <v>24</v>
      </c>
      <c r="L40" t="s">
        <v>25</v>
      </c>
      <c r="M40" t="s">
        <v>30</v>
      </c>
      <c r="N40">
        <v>1</v>
      </c>
      <c r="O40" s="2">
        <v>1266</v>
      </c>
      <c r="P40" s="2">
        <v>2320</v>
      </c>
      <c r="Q40" s="2">
        <v>1054</v>
      </c>
      <c r="R40" s="2">
        <v>1266</v>
      </c>
      <c r="S40" s="2">
        <v>2320</v>
      </c>
    </row>
    <row r="41" spans="1:19" x14ac:dyDescent="0.35">
      <c r="A41">
        <v>261734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21</v>
      </c>
      <c r="I41" t="s">
        <v>22</v>
      </c>
      <c r="J41" t="s">
        <v>38</v>
      </c>
      <c r="K41" t="s">
        <v>24</v>
      </c>
      <c r="L41" t="s">
        <v>25</v>
      </c>
      <c r="M41" t="s">
        <v>30</v>
      </c>
      <c r="N41">
        <v>1</v>
      </c>
      <c r="O41" s="2">
        <v>1266</v>
      </c>
      <c r="P41" s="2">
        <v>2320</v>
      </c>
      <c r="Q41" s="2">
        <v>1054</v>
      </c>
      <c r="R41" s="2">
        <v>1266</v>
      </c>
      <c r="S41" s="2">
        <v>2320</v>
      </c>
    </row>
    <row r="42" spans="1:19" x14ac:dyDescent="0.35">
      <c r="A42">
        <v>261735</v>
      </c>
      <c r="B42" t="s">
        <v>57</v>
      </c>
      <c r="C42">
        <v>13</v>
      </c>
      <c r="D42" t="s">
        <v>19</v>
      </c>
      <c r="E42">
        <v>2021</v>
      </c>
      <c r="F42">
        <v>32</v>
      </c>
      <c r="G42" t="s">
        <v>32</v>
      </c>
      <c r="H42" t="s">
        <v>21</v>
      </c>
      <c r="I42" t="s">
        <v>33</v>
      </c>
      <c r="J42" t="s">
        <v>41</v>
      </c>
      <c r="K42" t="s">
        <v>24</v>
      </c>
      <c r="L42" t="s">
        <v>25</v>
      </c>
      <c r="M42" t="s">
        <v>30</v>
      </c>
      <c r="N42">
        <v>3</v>
      </c>
      <c r="O42" s="2">
        <v>1266</v>
      </c>
      <c r="P42" s="2">
        <v>2320</v>
      </c>
      <c r="Q42" s="2">
        <v>3162</v>
      </c>
      <c r="R42" s="2">
        <v>3798</v>
      </c>
      <c r="S42" s="2">
        <v>6960</v>
      </c>
    </row>
    <row r="43" spans="1:19" x14ac:dyDescent="0.35">
      <c r="A43">
        <v>261736</v>
      </c>
      <c r="B43" t="s">
        <v>57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58</v>
      </c>
      <c r="N43">
        <v>1</v>
      </c>
      <c r="O43" s="2">
        <v>308</v>
      </c>
      <c r="P43" s="2">
        <v>565</v>
      </c>
      <c r="Q43" s="2">
        <v>257</v>
      </c>
      <c r="R43" s="2">
        <v>308</v>
      </c>
      <c r="S43" s="2">
        <v>565</v>
      </c>
    </row>
    <row r="44" spans="1:19" x14ac:dyDescent="0.35">
      <c r="A44">
        <v>261737</v>
      </c>
      <c r="B44" t="s">
        <v>57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21</v>
      </c>
      <c r="I44" t="s">
        <v>28</v>
      </c>
      <c r="J44" t="s">
        <v>29</v>
      </c>
      <c r="K44" t="s">
        <v>24</v>
      </c>
      <c r="L44" t="s">
        <v>25</v>
      </c>
      <c r="M44" t="s">
        <v>37</v>
      </c>
      <c r="N44">
        <v>1</v>
      </c>
      <c r="O44" s="2">
        <v>1252</v>
      </c>
      <c r="P44" s="2">
        <v>2295</v>
      </c>
      <c r="Q44" s="2">
        <v>1043</v>
      </c>
      <c r="R44" s="2">
        <v>1252</v>
      </c>
      <c r="S44" s="2">
        <v>2295</v>
      </c>
    </row>
    <row r="45" spans="1:19" x14ac:dyDescent="0.35">
      <c r="A45">
        <v>261738</v>
      </c>
      <c r="B45" t="s">
        <v>57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27</v>
      </c>
      <c r="I45" t="s">
        <v>28</v>
      </c>
      <c r="J45" t="s">
        <v>29</v>
      </c>
      <c r="K45" t="s">
        <v>24</v>
      </c>
      <c r="L45" t="s">
        <v>25</v>
      </c>
      <c r="M45" t="s">
        <v>37</v>
      </c>
      <c r="N45">
        <v>1</v>
      </c>
      <c r="O45" s="2">
        <v>1252</v>
      </c>
      <c r="P45" s="2">
        <v>2295</v>
      </c>
      <c r="Q45" s="2">
        <v>1043</v>
      </c>
      <c r="R45" s="2">
        <v>1252</v>
      </c>
      <c r="S45" s="2">
        <v>2295</v>
      </c>
    </row>
    <row r="46" spans="1:19" x14ac:dyDescent="0.35">
      <c r="A46">
        <v>261739</v>
      </c>
      <c r="B46" t="s">
        <v>59</v>
      </c>
      <c r="C46">
        <v>14</v>
      </c>
      <c r="D46" t="s">
        <v>19</v>
      </c>
      <c r="E46">
        <v>2021</v>
      </c>
      <c r="F46">
        <v>30</v>
      </c>
      <c r="G46" t="s">
        <v>32</v>
      </c>
      <c r="H46" t="s">
        <v>21</v>
      </c>
      <c r="I46" t="s">
        <v>22</v>
      </c>
      <c r="J46" t="s">
        <v>38</v>
      </c>
      <c r="K46" t="s">
        <v>24</v>
      </c>
      <c r="L46" t="s">
        <v>25</v>
      </c>
      <c r="M46" t="s">
        <v>42</v>
      </c>
      <c r="N46">
        <v>2</v>
      </c>
      <c r="O46" s="2">
        <v>1266</v>
      </c>
      <c r="P46" s="2">
        <v>2320</v>
      </c>
      <c r="Q46" s="2">
        <v>2108</v>
      </c>
      <c r="R46" s="2">
        <v>2532</v>
      </c>
      <c r="S46" s="2">
        <v>4640</v>
      </c>
    </row>
    <row r="47" spans="1:19" x14ac:dyDescent="0.35">
      <c r="A47">
        <v>261740</v>
      </c>
      <c r="B47" t="s">
        <v>59</v>
      </c>
      <c r="C47">
        <v>14</v>
      </c>
      <c r="D47" t="s">
        <v>19</v>
      </c>
      <c r="E47">
        <v>2021</v>
      </c>
      <c r="F47">
        <v>32</v>
      </c>
      <c r="G47" t="s">
        <v>32</v>
      </c>
      <c r="H47" t="s">
        <v>27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>
        <v>1</v>
      </c>
      <c r="O47" s="2">
        <v>1252</v>
      </c>
      <c r="P47" s="2">
        <v>2295</v>
      </c>
      <c r="Q47" s="2">
        <v>1043</v>
      </c>
      <c r="R47" s="2">
        <v>1252</v>
      </c>
      <c r="S47" s="2">
        <v>2295</v>
      </c>
    </row>
    <row r="48" spans="1:19" x14ac:dyDescent="0.35">
      <c r="A48">
        <v>261741</v>
      </c>
      <c r="B48" t="s">
        <v>59</v>
      </c>
      <c r="C48">
        <v>14</v>
      </c>
      <c r="D48" t="s">
        <v>19</v>
      </c>
      <c r="E48">
        <v>2021</v>
      </c>
      <c r="F48">
        <v>32</v>
      </c>
      <c r="G48" t="s">
        <v>32</v>
      </c>
      <c r="H48" t="s">
        <v>21</v>
      </c>
      <c r="I48" t="s">
        <v>33</v>
      </c>
      <c r="J48" t="s">
        <v>50</v>
      </c>
      <c r="K48" t="s">
        <v>24</v>
      </c>
      <c r="L48" t="s">
        <v>25</v>
      </c>
      <c r="M48" t="s">
        <v>31</v>
      </c>
      <c r="N48">
        <v>1</v>
      </c>
      <c r="O48" s="2">
        <v>420</v>
      </c>
      <c r="P48" s="2">
        <v>769</v>
      </c>
      <c r="Q48" s="2">
        <v>349</v>
      </c>
      <c r="R48" s="2">
        <v>420</v>
      </c>
      <c r="S48" s="2">
        <v>769</v>
      </c>
    </row>
    <row r="49" spans="1:19" x14ac:dyDescent="0.35">
      <c r="A49">
        <v>261742</v>
      </c>
      <c r="B49" t="s">
        <v>60</v>
      </c>
      <c r="C49">
        <v>15</v>
      </c>
      <c r="D49" t="s">
        <v>19</v>
      </c>
      <c r="E49">
        <v>2021</v>
      </c>
      <c r="F49">
        <v>29</v>
      </c>
      <c r="G49" t="s">
        <v>32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30</v>
      </c>
      <c r="N49">
        <v>1</v>
      </c>
      <c r="O49" s="2">
        <v>1266</v>
      </c>
      <c r="P49" s="2">
        <v>2320</v>
      </c>
      <c r="Q49" s="2">
        <v>1054</v>
      </c>
      <c r="R49" s="2">
        <v>1266</v>
      </c>
      <c r="S49" s="2">
        <v>2320</v>
      </c>
    </row>
    <row r="50" spans="1:19" x14ac:dyDescent="0.35">
      <c r="A50">
        <v>261743</v>
      </c>
      <c r="B50" t="s">
        <v>61</v>
      </c>
      <c r="C50">
        <v>16</v>
      </c>
      <c r="D50" t="s">
        <v>19</v>
      </c>
      <c r="E50">
        <v>2021</v>
      </c>
      <c r="F50">
        <v>33</v>
      </c>
      <c r="G50" t="s">
        <v>32</v>
      </c>
      <c r="H50" t="s">
        <v>21</v>
      </c>
      <c r="I50" t="s">
        <v>33</v>
      </c>
      <c r="J50" t="s">
        <v>34</v>
      </c>
      <c r="K50" t="s">
        <v>24</v>
      </c>
      <c r="L50" t="s">
        <v>25</v>
      </c>
      <c r="M50" t="s">
        <v>37</v>
      </c>
      <c r="N50">
        <v>2</v>
      </c>
      <c r="O50" s="2">
        <v>1252</v>
      </c>
      <c r="P50" s="2">
        <v>2295</v>
      </c>
      <c r="Q50" s="2">
        <v>2086</v>
      </c>
      <c r="R50" s="2">
        <v>2504</v>
      </c>
      <c r="S50" s="2">
        <v>4590</v>
      </c>
    </row>
    <row r="51" spans="1:19" x14ac:dyDescent="0.35">
      <c r="A51">
        <v>261744</v>
      </c>
      <c r="B51" t="s">
        <v>61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27</v>
      </c>
      <c r="I51" t="s">
        <v>33</v>
      </c>
      <c r="J51" t="s">
        <v>34</v>
      </c>
      <c r="K51" t="s">
        <v>24</v>
      </c>
      <c r="L51" t="s">
        <v>25</v>
      </c>
      <c r="M51" t="s">
        <v>37</v>
      </c>
      <c r="N51">
        <v>2</v>
      </c>
      <c r="O51" s="2">
        <v>1252</v>
      </c>
      <c r="P51" s="2">
        <v>2295</v>
      </c>
      <c r="Q51" s="2">
        <v>2086</v>
      </c>
      <c r="R51" s="2">
        <v>2504</v>
      </c>
      <c r="S51" s="2">
        <v>4590</v>
      </c>
    </row>
    <row r="52" spans="1:19" x14ac:dyDescent="0.35">
      <c r="A52">
        <v>261745</v>
      </c>
      <c r="B52" t="s">
        <v>61</v>
      </c>
      <c r="C52">
        <v>16</v>
      </c>
      <c r="D52" t="s">
        <v>19</v>
      </c>
      <c r="E52">
        <v>2021</v>
      </c>
      <c r="F52">
        <v>27</v>
      </c>
      <c r="G52" t="s">
        <v>32</v>
      </c>
      <c r="H52" t="s">
        <v>21</v>
      </c>
      <c r="I52" t="s">
        <v>55</v>
      </c>
      <c r="J52" t="s">
        <v>62</v>
      </c>
      <c r="K52" t="s">
        <v>24</v>
      </c>
      <c r="L52" t="s">
        <v>25</v>
      </c>
      <c r="M52" t="s">
        <v>63</v>
      </c>
      <c r="N52">
        <v>1</v>
      </c>
      <c r="O52" s="2">
        <v>1266</v>
      </c>
      <c r="P52" s="2">
        <v>2320</v>
      </c>
      <c r="Q52" s="2">
        <v>1054</v>
      </c>
      <c r="R52" s="2">
        <v>1266</v>
      </c>
      <c r="S52" s="2">
        <v>2320</v>
      </c>
    </row>
    <row r="53" spans="1:19" x14ac:dyDescent="0.35">
      <c r="A53">
        <v>261746</v>
      </c>
      <c r="B53" t="s">
        <v>64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21</v>
      </c>
      <c r="I53" t="s">
        <v>22</v>
      </c>
      <c r="J53" t="s">
        <v>38</v>
      </c>
      <c r="K53" t="s">
        <v>24</v>
      </c>
      <c r="L53" t="s">
        <v>25</v>
      </c>
      <c r="M53" t="s">
        <v>42</v>
      </c>
      <c r="N53">
        <v>2</v>
      </c>
      <c r="O53" s="2">
        <v>1266</v>
      </c>
      <c r="P53" s="2">
        <v>2320</v>
      </c>
      <c r="Q53" s="2">
        <v>2108</v>
      </c>
      <c r="R53" s="2">
        <v>2532</v>
      </c>
      <c r="S53" s="2">
        <v>4640</v>
      </c>
    </row>
    <row r="54" spans="1:19" x14ac:dyDescent="0.35">
      <c r="A54">
        <v>261747</v>
      </c>
      <c r="B54" t="s">
        <v>64</v>
      </c>
      <c r="C54">
        <v>17</v>
      </c>
      <c r="D54" t="s">
        <v>19</v>
      </c>
      <c r="E54">
        <v>2021</v>
      </c>
      <c r="F54">
        <v>31</v>
      </c>
      <c r="G54" t="s">
        <v>32</v>
      </c>
      <c r="H54" t="s">
        <v>27</v>
      </c>
      <c r="I54" t="s">
        <v>33</v>
      </c>
      <c r="J54" t="s">
        <v>34</v>
      </c>
      <c r="K54" t="s">
        <v>24</v>
      </c>
      <c r="L54" t="s">
        <v>25</v>
      </c>
      <c r="M54" t="s">
        <v>35</v>
      </c>
      <c r="N54">
        <v>1</v>
      </c>
      <c r="O54" s="2">
        <v>420</v>
      </c>
      <c r="P54" s="2">
        <v>769</v>
      </c>
      <c r="Q54" s="2">
        <v>349</v>
      </c>
      <c r="R54" s="2">
        <v>420</v>
      </c>
      <c r="S54" s="2">
        <v>769</v>
      </c>
    </row>
    <row r="55" spans="1:19" x14ac:dyDescent="0.35">
      <c r="A55">
        <v>261748</v>
      </c>
      <c r="B55" t="s">
        <v>64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21</v>
      </c>
      <c r="I55" t="s">
        <v>39</v>
      </c>
      <c r="J55" t="s">
        <v>40</v>
      </c>
      <c r="K55" t="s">
        <v>24</v>
      </c>
      <c r="L55" t="s">
        <v>25</v>
      </c>
      <c r="M55" t="s">
        <v>63</v>
      </c>
      <c r="N55">
        <v>1</v>
      </c>
      <c r="O55" s="2">
        <v>1266</v>
      </c>
      <c r="P55" s="2">
        <v>2320</v>
      </c>
      <c r="Q55" s="2">
        <v>1054</v>
      </c>
      <c r="R55" s="2">
        <v>1266</v>
      </c>
      <c r="S55" s="2">
        <v>2320</v>
      </c>
    </row>
    <row r="56" spans="1:19" x14ac:dyDescent="0.35">
      <c r="A56">
        <v>261749</v>
      </c>
      <c r="B56" t="s">
        <v>65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21</v>
      </c>
      <c r="I56" t="s">
        <v>33</v>
      </c>
      <c r="J56" t="s">
        <v>34</v>
      </c>
      <c r="K56" t="s">
        <v>24</v>
      </c>
      <c r="L56" t="s">
        <v>25</v>
      </c>
      <c r="M56" t="s">
        <v>47</v>
      </c>
      <c r="N56">
        <v>4</v>
      </c>
      <c r="O56" s="2">
        <v>308</v>
      </c>
      <c r="P56" s="2">
        <v>565</v>
      </c>
      <c r="Q56" s="2">
        <v>1028</v>
      </c>
      <c r="R56" s="2">
        <v>1232</v>
      </c>
      <c r="S56" s="2">
        <v>2260</v>
      </c>
    </row>
    <row r="57" spans="1:19" x14ac:dyDescent="0.35">
      <c r="A57">
        <v>261750</v>
      </c>
      <c r="B57" t="s">
        <v>65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21</v>
      </c>
      <c r="I57" t="s">
        <v>39</v>
      </c>
      <c r="J57" t="s">
        <v>40</v>
      </c>
      <c r="K57" t="s">
        <v>24</v>
      </c>
      <c r="L57" t="s">
        <v>25</v>
      </c>
      <c r="M57" t="s">
        <v>63</v>
      </c>
      <c r="N57">
        <v>4</v>
      </c>
      <c r="O57" s="2">
        <v>1266</v>
      </c>
      <c r="P57" s="2">
        <v>2320</v>
      </c>
      <c r="Q57" s="2">
        <v>4216</v>
      </c>
      <c r="R57" s="2">
        <v>5064</v>
      </c>
      <c r="S57" s="2">
        <v>9280</v>
      </c>
    </row>
    <row r="58" spans="1:19" x14ac:dyDescent="0.35">
      <c r="A58">
        <v>261751</v>
      </c>
      <c r="B58" t="s">
        <v>65</v>
      </c>
      <c r="C58">
        <v>18</v>
      </c>
      <c r="D58" t="s">
        <v>19</v>
      </c>
      <c r="E58">
        <v>2021</v>
      </c>
      <c r="F58">
        <v>24</v>
      </c>
      <c r="G58" t="s">
        <v>36</v>
      </c>
      <c r="H58" t="s">
        <v>21</v>
      </c>
      <c r="I58" t="s">
        <v>55</v>
      </c>
      <c r="J58" t="s">
        <v>66</v>
      </c>
      <c r="K58" t="s">
        <v>24</v>
      </c>
      <c r="L58" t="s">
        <v>25</v>
      </c>
      <c r="M58" t="s">
        <v>42</v>
      </c>
      <c r="N58">
        <v>3</v>
      </c>
      <c r="O58" s="2">
        <v>1266</v>
      </c>
      <c r="P58" s="2">
        <v>2320</v>
      </c>
      <c r="Q58" s="2">
        <v>3162</v>
      </c>
      <c r="R58" s="2">
        <v>3798</v>
      </c>
      <c r="S58" s="2">
        <v>6960</v>
      </c>
    </row>
    <row r="59" spans="1:19" x14ac:dyDescent="0.35">
      <c r="A59">
        <v>261752</v>
      </c>
      <c r="B59" t="s">
        <v>65</v>
      </c>
      <c r="C59">
        <v>18</v>
      </c>
      <c r="D59" t="s">
        <v>19</v>
      </c>
      <c r="E59">
        <v>2021</v>
      </c>
      <c r="F59">
        <v>26</v>
      </c>
      <c r="G59" t="s">
        <v>32</v>
      </c>
      <c r="H59" t="s">
        <v>21</v>
      </c>
      <c r="I59" t="s">
        <v>28</v>
      </c>
      <c r="J59" t="s">
        <v>29</v>
      </c>
      <c r="K59" t="s">
        <v>24</v>
      </c>
      <c r="L59" t="s">
        <v>25</v>
      </c>
      <c r="M59" t="s">
        <v>35</v>
      </c>
      <c r="N59">
        <v>3</v>
      </c>
      <c r="O59" s="2">
        <v>420</v>
      </c>
      <c r="P59" s="2">
        <v>769</v>
      </c>
      <c r="Q59" s="2">
        <v>1047</v>
      </c>
      <c r="R59" s="2">
        <v>1260</v>
      </c>
      <c r="S59" s="2">
        <v>2307</v>
      </c>
    </row>
    <row r="60" spans="1:19" x14ac:dyDescent="0.35">
      <c r="A60">
        <v>261753</v>
      </c>
      <c r="B60" t="s">
        <v>65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27</v>
      </c>
      <c r="I60" t="s">
        <v>22</v>
      </c>
      <c r="J60" t="s">
        <v>23</v>
      </c>
      <c r="K60" t="s">
        <v>24</v>
      </c>
      <c r="L60" t="s">
        <v>25</v>
      </c>
      <c r="M60" t="s">
        <v>45</v>
      </c>
      <c r="N60">
        <v>3</v>
      </c>
      <c r="O60" s="2">
        <v>1252</v>
      </c>
      <c r="P60" s="2">
        <v>2295</v>
      </c>
      <c r="Q60" s="2">
        <v>3129</v>
      </c>
      <c r="R60" s="2">
        <v>3756</v>
      </c>
      <c r="S60" s="2">
        <v>6885</v>
      </c>
    </row>
    <row r="61" spans="1:19" x14ac:dyDescent="0.35">
      <c r="A61">
        <v>261754</v>
      </c>
      <c r="B61" t="s">
        <v>65</v>
      </c>
      <c r="C61">
        <v>18</v>
      </c>
      <c r="D61" t="s">
        <v>19</v>
      </c>
      <c r="E61">
        <v>2021</v>
      </c>
      <c r="F61">
        <v>26</v>
      </c>
      <c r="G61" t="s">
        <v>32</v>
      </c>
      <c r="H61" t="s">
        <v>27</v>
      </c>
      <c r="I61" t="s">
        <v>55</v>
      </c>
      <c r="J61" t="s">
        <v>56</v>
      </c>
      <c r="K61" t="s">
        <v>24</v>
      </c>
      <c r="L61" t="s">
        <v>25</v>
      </c>
      <c r="M61" t="s">
        <v>26</v>
      </c>
      <c r="N61">
        <v>1</v>
      </c>
      <c r="O61" s="2">
        <v>1252</v>
      </c>
      <c r="P61" s="2">
        <v>2295</v>
      </c>
      <c r="Q61" s="2">
        <v>1043</v>
      </c>
      <c r="R61" s="2">
        <v>1252</v>
      </c>
      <c r="S61" s="2">
        <v>2295</v>
      </c>
    </row>
    <row r="62" spans="1:19" x14ac:dyDescent="0.35">
      <c r="A62">
        <v>261755</v>
      </c>
      <c r="B62" t="s">
        <v>65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27</v>
      </c>
      <c r="I62" t="s">
        <v>22</v>
      </c>
      <c r="J62" t="s">
        <v>38</v>
      </c>
      <c r="K62" t="s">
        <v>24</v>
      </c>
      <c r="L62" t="s">
        <v>25</v>
      </c>
      <c r="M62" t="s">
        <v>42</v>
      </c>
      <c r="N62">
        <v>1</v>
      </c>
      <c r="O62" s="2">
        <v>1266</v>
      </c>
      <c r="P62" s="2">
        <v>2320</v>
      </c>
      <c r="Q62" s="2">
        <v>1054</v>
      </c>
      <c r="R62" s="2">
        <v>1266</v>
      </c>
      <c r="S62" s="2">
        <v>2320</v>
      </c>
    </row>
    <row r="63" spans="1:19" x14ac:dyDescent="0.35">
      <c r="A63">
        <v>261756</v>
      </c>
      <c r="B63" t="s">
        <v>67</v>
      </c>
      <c r="C63">
        <v>19</v>
      </c>
      <c r="D63" t="s">
        <v>19</v>
      </c>
      <c r="E63">
        <v>2021</v>
      </c>
      <c r="F63">
        <v>17</v>
      </c>
      <c r="G63" t="s">
        <v>36</v>
      </c>
      <c r="H63" t="s">
        <v>27</v>
      </c>
      <c r="I63" t="s">
        <v>55</v>
      </c>
      <c r="J63" t="s">
        <v>68</v>
      </c>
      <c r="K63" t="s">
        <v>24</v>
      </c>
      <c r="L63" t="s">
        <v>25</v>
      </c>
      <c r="M63" t="s">
        <v>63</v>
      </c>
      <c r="N63">
        <v>4</v>
      </c>
      <c r="O63" s="2">
        <v>1266</v>
      </c>
      <c r="P63" s="2">
        <v>2320</v>
      </c>
      <c r="Q63" s="2">
        <v>4216</v>
      </c>
      <c r="R63" s="2">
        <v>5064</v>
      </c>
      <c r="S63" s="2">
        <v>9280</v>
      </c>
    </row>
    <row r="64" spans="1:19" x14ac:dyDescent="0.35">
      <c r="A64">
        <v>261757</v>
      </c>
      <c r="B64" t="s">
        <v>67</v>
      </c>
      <c r="C64">
        <v>19</v>
      </c>
      <c r="D64" t="s">
        <v>19</v>
      </c>
      <c r="E64">
        <v>2021</v>
      </c>
      <c r="F64">
        <v>19</v>
      </c>
      <c r="G64" t="s">
        <v>36</v>
      </c>
      <c r="H64" t="s">
        <v>21</v>
      </c>
      <c r="I64" t="s">
        <v>33</v>
      </c>
      <c r="J64" t="s">
        <v>50</v>
      </c>
      <c r="K64" t="s">
        <v>24</v>
      </c>
      <c r="L64" t="s">
        <v>25</v>
      </c>
      <c r="M64" t="s">
        <v>69</v>
      </c>
      <c r="N64">
        <v>4</v>
      </c>
      <c r="O64" s="2">
        <v>295</v>
      </c>
      <c r="P64" s="2">
        <v>540</v>
      </c>
      <c r="Q64" s="2">
        <v>980</v>
      </c>
      <c r="R64" s="2">
        <v>1180</v>
      </c>
      <c r="S64" s="2">
        <v>2160</v>
      </c>
    </row>
    <row r="65" spans="1:19" x14ac:dyDescent="0.35">
      <c r="A65">
        <v>261758</v>
      </c>
      <c r="B65" t="s">
        <v>67</v>
      </c>
      <c r="C65">
        <v>19</v>
      </c>
      <c r="D65" t="s">
        <v>19</v>
      </c>
      <c r="E65">
        <v>2021</v>
      </c>
      <c r="F65">
        <v>25</v>
      </c>
      <c r="G65" t="s">
        <v>32</v>
      </c>
      <c r="H65" t="s">
        <v>27</v>
      </c>
      <c r="I65" t="s">
        <v>55</v>
      </c>
      <c r="J65" t="s">
        <v>56</v>
      </c>
      <c r="K65" t="s">
        <v>24</v>
      </c>
      <c r="L65" t="s">
        <v>25</v>
      </c>
      <c r="M65" t="s">
        <v>37</v>
      </c>
      <c r="N65">
        <v>4</v>
      </c>
      <c r="O65" s="2">
        <v>1252</v>
      </c>
      <c r="P65" s="2">
        <v>2295</v>
      </c>
      <c r="Q65" s="2">
        <v>4172</v>
      </c>
      <c r="R65" s="2">
        <v>5008</v>
      </c>
      <c r="S65" s="2">
        <v>9180</v>
      </c>
    </row>
    <row r="66" spans="1:19" x14ac:dyDescent="0.35">
      <c r="A66">
        <v>261759</v>
      </c>
      <c r="B66" t="s">
        <v>67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21</v>
      </c>
      <c r="I66" t="s">
        <v>22</v>
      </c>
      <c r="J66" t="s">
        <v>48</v>
      </c>
      <c r="K66" t="s">
        <v>24</v>
      </c>
      <c r="L66" t="s">
        <v>25</v>
      </c>
      <c r="M66" t="s">
        <v>70</v>
      </c>
      <c r="N66">
        <v>4</v>
      </c>
      <c r="O66" s="2">
        <v>1898</v>
      </c>
      <c r="P66" s="2">
        <v>3375</v>
      </c>
      <c r="Q66" s="2">
        <v>5908</v>
      </c>
      <c r="R66" s="2">
        <v>7592</v>
      </c>
      <c r="S66" s="2">
        <v>13500</v>
      </c>
    </row>
    <row r="67" spans="1:19" x14ac:dyDescent="0.35">
      <c r="A67">
        <v>261760</v>
      </c>
      <c r="B67" t="s">
        <v>67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27</v>
      </c>
      <c r="I67" t="s">
        <v>22</v>
      </c>
      <c r="J67" t="s">
        <v>48</v>
      </c>
      <c r="K67" t="s">
        <v>24</v>
      </c>
      <c r="L67" t="s">
        <v>25</v>
      </c>
      <c r="M67" t="s">
        <v>37</v>
      </c>
      <c r="N67">
        <v>4</v>
      </c>
      <c r="O67" s="2">
        <v>1252</v>
      </c>
      <c r="P67" s="2">
        <v>2295</v>
      </c>
      <c r="Q67" s="2">
        <v>4172</v>
      </c>
      <c r="R67" s="2">
        <v>5008</v>
      </c>
      <c r="S67" s="2">
        <v>9180</v>
      </c>
    </row>
    <row r="68" spans="1:19" x14ac:dyDescent="0.35">
      <c r="A68">
        <v>261761</v>
      </c>
      <c r="B68" t="s">
        <v>67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>
        <v>4</v>
      </c>
      <c r="O68" s="2">
        <v>1252</v>
      </c>
      <c r="P68" s="2">
        <v>2295</v>
      </c>
      <c r="Q68" s="2">
        <v>4172</v>
      </c>
      <c r="R68" s="2">
        <v>5008</v>
      </c>
      <c r="S68" s="2">
        <v>9180</v>
      </c>
    </row>
    <row r="69" spans="1:19" x14ac:dyDescent="0.35">
      <c r="A69">
        <v>261762</v>
      </c>
      <c r="B69" t="s">
        <v>67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21</v>
      </c>
      <c r="I69" t="s">
        <v>33</v>
      </c>
      <c r="J69" t="s">
        <v>41</v>
      </c>
      <c r="K69" t="s">
        <v>24</v>
      </c>
      <c r="L69" t="s">
        <v>25</v>
      </c>
      <c r="M69" t="s">
        <v>26</v>
      </c>
      <c r="N69">
        <v>4</v>
      </c>
      <c r="O69" s="2">
        <v>1252</v>
      </c>
      <c r="P69" s="2">
        <v>2295</v>
      </c>
      <c r="Q69" s="2">
        <v>4172</v>
      </c>
      <c r="R69" s="2">
        <v>5008</v>
      </c>
      <c r="S69" s="2">
        <v>9180</v>
      </c>
    </row>
    <row r="70" spans="1:19" x14ac:dyDescent="0.35">
      <c r="A70">
        <v>261763</v>
      </c>
      <c r="B70" t="s">
        <v>67</v>
      </c>
      <c r="C70">
        <v>19</v>
      </c>
      <c r="D70" t="s">
        <v>19</v>
      </c>
      <c r="E70">
        <v>2021</v>
      </c>
      <c r="F70">
        <v>18</v>
      </c>
      <c r="G70" t="s">
        <v>36</v>
      </c>
      <c r="H70" t="s">
        <v>27</v>
      </c>
      <c r="I70" t="s">
        <v>33</v>
      </c>
      <c r="J70" t="s">
        <v>71</v>
      </c>
      <c r="K70" t="s">
        <v>24</v>
      </c>
      <c r="L70" t="s">
        <v>25</v>
      </c>
      <c r="M70" t="s">
        <v>53</v>
      </c>
      <c r="N70">
        <v>2</v>
      </c>
      <c r="O70" s="2">
        <v>295</v>
      </c>
      <c r="P70" s="2">
        <v>540</v>
      </c>
      <c r="Q70" s="2">
        <v>490</v>
      </c>
      <c r="R70" s="2">
        <v>590</v>
      </c>
      <c r="S70" s="2">
        <v>1080</v>
      </c>
    </row>
    <row r="71" spans="1:19" x14ac:dyDescent="0.35">
      <c r="A71">
        <v>261764</v>
      </c>
      <c r="B71" t="s">
        <v>67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21</v>
      </c>
      <c r="I71" t="s">
        <v>39</v>
      </c>
      <c r="J71" t="s">
        <v>72</v>
      </c>
      <c r="K71" t="s">
        <v>24</v>
      </c>
      <c r="L71" t="s">
        <v>25</v>
      </c>
      <c r="M71" t="s">
        <v>26</v>
      </c>
      <c r="N71">
        <v>2</v>
      </c>
      <c r="O71" s="2">
        <v>1252</v>
      </c>
      <c r="P71" s="2">
        <v>2295</v>
      </c>
      <c r="Q71" s="2">
        <v>2086</v>
      </c>
      <c r="R71" s="2">
        <v>2504</v>
      </c>
      <c r="S71" s="2">
        <v>4590</v>
      </c>
    </row>
    <row r="72" spans="1:19" x14ac:dyDescent="0.35">
      <c r="A72">
        <v>261765</v>
      </c>
      <c r="B72" t="s">
        <v>67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21</v>
      </c>
      <c r="I72" t="s">
        <v>22</v>
      </c>
      <c r="J72" t="s">
        <v>38</v>
      </c>
      <c r="K72" t="s">
        <v>24</v>
      </c>
      <c r="L72" t="s">
        <v>25</v>
      </c>
      <c r="M72" t="s">
        <v>42</v>
      </c>
      <c r="N72">
        <v>1</v>
      </c>
      <c r="O72" s="2">
        <v>1266</v>
      </c>
      <c r="P72" s="2">
        <v>2320</v>
      </c>
      <c r="Q72" s="2">
        <v>1054</v>
      </c>
      <c r="R72" s="2">
        <v>1266</v>
      </c>
      <c r="S72" s="2">
        <v>2320</v>
      </c>
    </row>
    <row r="73" spans="1:19" x14ac:dyDescent="0.35">
      <c r="A73">
        <v>261766</v>
      </c>
      <c r="B73" t="s">
        <v>73</v>
      </c>
      <c r="C73">
        <v>20</v>
      </c>
      <c r="D73" t="s">
        <v>19</v>
      </c>
      <c r="E73">
        <v>2021</v>
      </c>
      <c r="F73">
        <v>33</v>
      </c>
      <c r="G73" t="s">
        <v>32</v>
      </c>
      <c r="H73" t="s">
        <v>21</v>
      </c>
      <c r="I73" t="s">
        <v>33</v>
      </c>
      <c r="J73" t="s">
        <v>50</v>
      </c>
      <c r="K73" t="s">
        <v>24</v>
      </c>
      <c r="L73" t="s">
        <v>25</v>
      </c>
      <c r="M73" t="s">
        <v>51</v>
      </c>
      <c r="N73">
        <v>4</v>
      </c>
      <c r="O73" s="2">
        <v>1898</v>
      </c>
      <c r="P73" s="2">
        <v>3375</v>
      </c>
      <c r="Q73" s="2">
        <v>5908</v>
      </c>
      <c r="R73" s="2">
        <v>7592</v>
      </c>
      <c r="S73" s="2">
        <v>13500</v>
      </c>
    </row>
    <row r="74" spans="1:19" x14ac:dyDescent="0.35">
      <c r="A74">
        <v>261767</v>
      </c>
      <c r="B74" t="s">
        <v>73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27</v>
      </c>
      <c r="I74" t="s">
        <v>33</v>
      </c>
      <c r="J74" t="s">
        <v>41</v>
      </c>
      <c r="K74" t="s">
        <v>24</v>
      </c>
      <c r="L74" t="s">
        <v>25</v>
      </c>
      <c r="M74" t="s">
        <v>26</v>
      </c>
      <c r="N74">
        <v>4</v>
      </c>
      <c r="O74" s="2">
        <v>1252</v>
      </c>
      <c r="P74" s="2">
        <v>2295</v>
      </c>
      <c r="Q74" s="2">
        <v>4172</v>
      </c>
      <c r="R74" s="2">
        <v>5008</v>
      </c>
      <c r="S74" s="2">
        <v>9180</v>
      </c>
    </row>
    <row r="75" spans="1:19" x14ac:dyDescent="0.35">
      <c r="A75">
        <v>261768</v>
      </c>
      <c r="B75" t="s">
        <v>73</v>
      </c>
      <c r="C75">
        <v>20</v>
      </c>
      <c r="D75" t="s">
        <v>19</v>
      </c>
      <c r="E75">
        <v>2021</v>
      </c>
      <c r="F75">
        <v>29</v>
      </c>
      <c r="G75" t="s">
        <v>32</v>
      </c>
      <c r="H75" t="s">
        <v>27</v>
      </c>
      <c r="I75" t="s">
        <v>43</v>
      </c>
      <c r="J75" t="s">
        <v>44</v>
      </c>
      <c r="K75" t="s">
        <v>24</v>
      </c>
      <c r="L75" t="s">
        <v>25</v>
      </c>
      <c r="M75" t="s">
        <v>74</v>
      </c>
      <c r="N75">
        <v>3</v>
      </c>
      <c r="O75" s="2">
        <v>295</v>
      </c>
      <c r="P75" s="2">
        <v>540</v>
      </c>
      <c r="Q75" s="2">
        <v>735</v>
      </c>
      <c r="R75" s="2">
        <v>885</v>
      </c>
      <c r="S75" s="2">
        <v>1620</v>
      </c>
    </row>
    <row r="76" spans="1:19" x14ac:dyDescent="0.35">
      <c r="A76">
        <v>261769</v>
      </c>
      <c r="B76" t="s">
        <v>73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21</v>
      </c>
      <c r="I76" t="s">
        <v>33</v>
      </c>
      <c r="J76" t="s">
        <v>41</v>
      </c>
      <c r="K76" t="s">
        <v>24</v>
      </c>
      <c r="L76" t="s">
        <v>25</v>
      </c>
      <c r="M76" t="s">
        <v>42</v>
      </c>
      <c r="N76">
        <v>1</v>
      </c>
      <c r="O76" s="2">
        <v>1266</v>
      </c>
      <c r="P76" s="2">
        <v>2320</v>
      </c>
      <c r="Q76" s="2">
        <v>1054</v>
      </c>
      <c r="R76" s="2">
        <v>1266</v>
      </c>
      <c r="S76" s="2">
        <v>2320</v>
      </c>
    </row>
    <row r="77" spans="1:19" x14ac:dyDescent="0.35">
      <c r="A77">
        <v>261770</v>
      </c>
      <c r="B77" t="s">
        <v>73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27</v>
      </c>
      <c r="I77" t="s">
        <v>33</v>
      </c>
      <c r="J77" t="s">
        <v>50</v>
      </c>
      <c r="K77" t="s">
        <v>24</v>
      </c>
      <c r="L77" t="s">
        <v>25</v>
      </c>
      <c r="M77" t="s">
        <v>42</v>
      </c>
      <c r="N77">
        <v>1</v>
      </c>
      <c r="O77" s="2">
        <v>1266</v>
      </c>
      <c r="P77" s="2">
        <v>2320</v>
      </c>
      <c r="Q77" s="2">
        <v>1054</v>
      </c>
      <c r="R77" s="2">
        <v>1266</v>
      </c>
      <c r="S77" s="2">
        <v>2320</v>
      </c>
    </row>
    <row r="78" spans="1:19" x14ac:dyDescent="0.35">
      <c r="A78">
        <v>261771</v>
      </c>
      <c r="B78" t="s">
        <v>75</v>
      </c>
      <c r="C78">
        <v>21</v>
      </c>
      <c r="D78" t="s">
        <v>19</v>
      </c>
      <c r="E78">
        <v>2021</v>
      </c>
      <c r="F78">
        <v>26</v>
      </c>
      <c r="G78" t="s">
        <v>32</v>
      </c>
      <c r="H78" t="s">
        <v>27</v>
      </c>
      <c r="I78" t="s">
        <v>55</v>
      </c>
      <c r="J78" t="s">
        <v>76</v>
      </c>
      <c r="K78" t="s">
        <v>24</v>
      </c>
      <c r="L78" t="s">
        <v>25</v>
      </c>
      <c r="M78" t="s">
        <v>42</v>
      </c>
      <c r="N78">
        <v>3</v>
      </c>
      <c r="O78" s="2">
        <v>1266</v>
      </c>
      <c r="P78" s="2">
        <v>2320</v>
      </c>
      <c r="Q78" s="2">
        <v>3162</v>
      </c>
      <c r="R78" s="2">
        <v>3798</v>
      </c>
      <c r="S78" s="2">
        <v>6960</v>
      </c>
    </row>
    <row r="79" spans="1:19" x14ac:dyDescent="0.35">
      <c r="A79">
        <v>261772</v>
      </c>
      <c r="B79" t="s">
        <v>75</v>
      </c>
      <c r="C79">
        <v>21</v>
      </c>
      <c r="D79" t="s">
        <v>19</v>
      </c>
      <c r="E79">
        <v>2021</v>
      </c>
      <c r="F79">
        <v>23</v>
      </c>
      <c r="G79" t="s">
        <v>36</v>
      </c>
      <c r="H79" t="s">
        <v>27</v>
      </c>
      <c r="I79" t="s">
        <v>28</v>
      </c>
      <c r="J79" t="s">
        <v>29</v>
      </c>
      <c r="K79" t="s">
        <v>24</v>
      </c>
      <c r="L79" t="s">
        <v>25</v>
      </c>
      <c r="M79" t="s">
        <v>31</v>
      </c>
      <c r="N79">
        <v>2</v>
      </c>
      <c r="O79" s="2">
        <v>420</v>
      </c>
      <c r="P79" s="2">
        <v>769</v>
      </c>
      <c r="Q79" s="2">
        <v>698</v>
      </c>
      <c r="R79" s="2">
        <v>840</v>
      </c>
      <c r="S79" s="2">
        <v>1538</v>
      </c>
    </row>
    <row r="80" spans="1:19" x14ac:dyDescent="0.35">
      <c r="A80">
        <v>261773</v>
      </c>
      <c r="B80" t="s">
        <v>77</v>
      </c>
      <c r="C80">
        <v>22</v>
      </c>
      <c r="D80" t="s">
        <v>19</v>
      </c>
      <c r="E80">
        <v>2021</v>
      </c>
      <c r="F80">
        <v>30</v>
      </c>
      <c r="G80" t="s">
        <v>32</v>
      </c>
      <c r="H80" t="s">
        <v>21</v>
      </c>
      <c r="I80" t="s">
        <v>22</v>
      </c>
      <c r="J80" t="s">
        <v>38</v>
      </c>
      <c r="K80" t="s">
        <v>24</v>
      </c>
      <c r="L80" t="s">
        <v>25</v>
      </c>
      <c r="M80" t="s">
        <v>42</v>
      </c>
      <c r="N80">
        <v>3</v>
      </c>
      <c r="O80" s="2">
        <v>1266</v>
      </c>
      <c r="P80" s="2">
        <v>2320</v>
      </c>
      <c r="Q80" s="2">
        <v>3162</v>
      </c>
      <c r="R80" s="2">
        <v>3798</v>
      </c>
      <c r="S80" s="2">
        <v>6960</v>
      </c>
    </row>
    <row r="81" spans="1:19" x14ac:dyDescent="0.35">
      <c r="A81">
        <v>261774</v>
      </c>
      <c r="B81" t="s">
        <v>77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27</v>
      </c>
      <c r="I81" t="s">
        <v>22</v>
      </c>
      <c r="J81" t="s">
        <v>23</v>
      </c>
      <c r="K81" t="s">
        <v>24</v>
      </c>
      <c r="L81" t="s">
        <v>25</v>
      </c>
      <c r="M81" t="s">
        <v>45</v>
      </c>
      <c r="N81">
        <v>3</v>
      </c>
      <c r="O81" s="2">
        <v>1252</v>
      </c>
      <c r="P81" s="2">
        <v>2295</v>
      </c>
      <c r="Q81" s="2">
        <v>3129</v>
      </c>
      <c r="R81" s="2">
        <v>3756</v>
      </c>
      <c r="S81" s="2">
        <v>6885</v>
      </c>
    </row>
    <row r="82" spans="1:19" x14ac:dyDescent="0.35">
      <c r="A82">
        <v>261775</v>
      </c>
      <c r="B82" t="s">
        <v>77</v>
      </c>
      <c r="C82">
        <v>22</v>
      </c>
      <c r="D82" t="s">
        <v>19</v>
      </c>
      <c r="E82">
        <v>2021</v>
      </c>
      <c r="F82">
        <v>19</v>
      </c>
      <c r="G82" t="s">
        <v>36</v>
      </c>
      <c r="H82" t="s">
        <v>21</v>
      </c>
      <c r="I82" t="s">
        <v>33</v>
      </c>
      <c r="J82" t="s">
        <v>34</v>
      </c>
      <c r="K82" t="s">
        <v>24</v>
      </c>
      <c r="L82" t="s">
        <v>25</v>
      </c>
      <c r="M82" t="s">
        <v>47</v>
      </c>
      <c r="N82">
        <v>1</v>
      </c>
      <c r="O82" s="2">
        <v>308</v>
      </c>
      <c r="P82" s="2">
        <v>565</v>
      </c>
      <c r="Q82" s="2">
        <v>257</v>
      </c>
      <c r="R82" s="2">
        <v>308</v>
      </c>
      <c r="S82" s="2">
        <v>565</v>
      </c>
    </row>
    <row r="83" spans="1:19" x14ac:dyDescent="0.35">
      <c r="A83">
        <v>261776</v>
      </c>
      <c r="B83" t="s">
        <v>77</v>
      </c>
      <c r="C83">
        <v>22</v>
      </c>
      <c r="D83" t="s">
        <v>19</v>
      </c>
      <c r="E83">
        <v>2021</v>
      </c>
      <c r="F83">
        <v>25</v>
      </c>
      <c r="G83" t="s">
        <v>32</v>
      </c>
      <c r="H83" t="s">
        <v>27</v>
      </c>
      <c r="I83" t="s">
        <v>55</v>
      </c>
      <c r="J83" t="s">
        <v>56</v>
      </c>
      <c r="K83" t="s">
        <v>24</v>
      </c>
      <c r="L83" t="s">
        <v>25</v>
      </c>
      <c r="M83" t="s">
        <v>37</v>
      </c>
      <c r="N83">
        <v>1</v>
      </c>
      <c r="O83" s="2">
        <v>1252</v>
      </c>
      <c r="P83" s="2">
        <v>2295</v>
      </c>
      <c r="Q83" s="2">
        <v>1043</v>
      </c>
      <c r="R83" s="2">
        <v>1252</v>
      </c>
      <c r="S83" s="2">
        <v>2295</v>
      </c>
    </row>
    <row r="84" spans="1:19" x14ac:dyDescent="0.35">
      <c r="A84">
        <v>261777</v>
      </c>
      <c r="B84" t="s">
        <v>77</v>
      </c>
      <c r="C84">
        <v>22</v>
      </c>
      <c r="D84" t="s">
        <v>19</v>
      </c>
      <c r="E84">
        <v>2021</v>
      </c>
      <c r="F84">
        <v>27</v>
      </c>
      <c r="G84" t="s">
        <v>32</v>
      </c>
      <c r="H84" t="s">
        <v>21</v>
      </c>
      <c r="I84" t="s">
        <v>43</v>
      </c>
      <c r="J84" t="s">
        <v>44</v>
      </c>
      <c r="K84" t="s">
        <v>24</v>
      </c>
      <c r="L84" t="s">
        <v>25</v>
      </c>
      <c r="M84" t="s">
        <v>26</v>
      </c>
      <c r="N84">
        <v>1</v>
      </c>
      <c r="O84" s="2">
        <v>1252</v>
      </c>
      <c r="P84" s="2">
        <v>2295</v>
      </c>
      <c r="Q84" s="2">
        <v>1043</v>
      </c>
      <c r="R84" s="2">
        <v>1252</v>
      </c>
      <c r="S84" s="2">
        <v>2295</v>
      </c>
    </row>
    <row r="85" spans="1:19" x14ac:dyDescent="0.35">
      <c r="A85">
        <v>261778</v>
      </c>
      <c r="B85" t="s">
        <v>77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27</v>
      </c>
      <c r="I85" t="s">
        <v>39</v>
      </c>
      <c r="J85" t="s">
        <v>72</v>
      </c>
      <c r="K85" t="s">
        <v>24</v>
      </c>
      <c r="L85" t="s">
        <v>25</v>
      </c>
      <c r="M85" t="s">
        <v>42</v>
      </c>
      <c r="N85">
        <v>1</v>
      </c>
      <c r="O85" s="2">
        <v>1266</v>
      </c>
      <c r="P85" s="2">
        <v>2320</v>
      </c>
      <c r="Q85" s="2">
        <v>1054</v>
      </c>
      <c r="R85" s="2">
        <v>1266</v>
      </c>
      <c r="S85" s="2">
        <v>2320</v>
      </c>
    </row>
    <row r="86" spans="1:19" x14ac:dyDescent="0.35">
      <c r="A86">
        <v>261779</v>
      </c>
      <c r="B86" t="s">
        <v>78</v>
      </c>
      <c r="C86">
        <v>23</v>
      </c>
      <c r="D86" t="s">
        <v>19</v>
      </c>
      <c r="E86">
        <v>2021</v>
      </c>
      <c r="F86">
        <v>30</v>
      </c>
      <c r="G86" t="s">
        <v>32</v>
      </c>
      <c r="H86" t="s">
        <v>21</v>
      </c>
      <c r="I86" t="s">
        <v>22</v>
      </c>
      <c r="J86" t="s">
        <v>48</v>
      </c>
      <c r="K86" t="s">
        <v>24</v>
      </c>
      <c r="L86" t="s">
        <v>25</v>
      </c>
      <c r="M86" t="s">
        <v>30</v>
      </c>
      <c r="N86">
        <v>1</v>
      </c>
      <c r="O86" s="2">
        <v>1266</v>
      </c>
      <c r="P86" s="2">
        <v>2320</v>
      </c>
      <c r="Q86" s="2">
        <v>1054</v>
      </c>
      <c r="R86" s="2">
        <v>1266</v>
      </c>
      <c r="S86" s="2">
        <v>2320</v>
      </c>
    </row>
    <row r="87" spans="1:19" x14ac:dyDescent="0.35">
      <c r="A87">
        <v>261780</v>
      </c>
      <c r="B87" t="s">
        <v>78</v>
      </c>
      <c r="C87">
        <v>23</v>
      </c>
      <c r="D87" t="s">
        <v>19</v>
      </c>
      <c r="E87">
        <v>2021</v>
      </c>
      <c r="F87">
        <v>31</v>
      </c>
      <c r="G87" t="s">
        <v>32</v>
      </c>
      <c r="H87" t="s">
        <v>21</v>
      </c>
      <c r="I87" t="s">
        <v>43</v>
      </c>
      <c r="J87" t="s">
        <v>44</v>
      </c>
      <c r="K87" t="s">
        <v>24</v>
      </c>
      <c r="L87" t="s">
        <v>25</v>
      </c>
      <c r="M87" t="s">
        <v>45</v>
      </c>
      <c r="N87">
        <v>1</v>
      </c>
      <c r="O87" s="2">
        <v>1252</v>
      </c>
      <c r="P87" s="2">
        <v>2295</v>
      </c>
      <c r="Q87" s="2">
        <v>1043</v>
      </c>
      <c r="R87" s="2">
        <v>1252</v>
      </c>
      <c r="S87" s="2">
        <v>2295</v>
      </c>
    </row>
    <row r="88" spans="1:19" x14ac:dyDescent="0.35">
      <c r="A88">
        <v>261781</v>
      </c>
      <c r="B88" t="s">
        <v>78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49</v>
      </c>
      <c r="N88">
        <v>1</v>
      </c>
      <c r="O88" s="2">
        <v>295</v>
      </c>
      <c r="P88" s="2">
        <v>540</v>
      </c>
      <c r="Q88" s="2">
        <v>245</v>
      </c>
      <c r="R88" s="2">
        <v>295</v>
      </c>
      <c r="S88" s="2">
        <v>540</v>
      </c>
    </row>
    <row r="89" spans="1:19" x14ac:dyDescent="0.35">
      <c r="A89">
        <v>261782</v>
      </c>
      <c r="B89" t="s">
        <v>79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27</v>
      </c>
      <c r="I89" t="s">
        <v>33</v>
      </c>
      <c r="J89" t="s">
        <v>41</v>
      </c>
      <c r="K89" t="s">
        <v>24</v>
      </c>
      <c r="L89" t="s">
        <v>25</v>
      </c>
      <c r="M89" t="s">
        <v>45</v>
      </c>
      <c r="N89">
        <v>4</v>
      </c>
      <c r="O89" s="2">
        <v>1252</v>
      </c>
      <c r="P89" s="2">
        <v>2295</v>
      </c>
      <c r="Q89" s="2">
        <v>4172</v>
      </c>
      <c r="R89" s="2">
        <v>5008</v>
      </c>
      <c r="S89" s="2">
        <v>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Bike_Sales_Functions_Lab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Basam</dc:creator>
  <cp:lastModifiedBy>Sarah Basam</cp:lastModifiedBy>
  <dcterms:created xsi:type="dcterms:W3CDTF">2025-12-16T15:18:43Z</dcterms:created>
  <dcterms:modified xsi:type="dcterms:W3CDTF">2025-12-16T15:44:31Z</dcterms:modified>
</cp:coreProperties>
</file>